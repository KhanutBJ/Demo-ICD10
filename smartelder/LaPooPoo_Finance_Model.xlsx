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" yWindow="760" windowWidth="29400" windowHeight="17240" tabRatio="600" firstSheet="0" activeTab="1" autoFilterDateGrouping="1"/>
  </bookViews>
  <sheets>
    <sheet name="Assumptions" sheetId="1" state="visible" r:id="rId1"/>
    <sheet name="CAPEX" sheetId="2" state="visible" r:id="rId2"/>
    <sheet name="OPEX" sheetId="3" state="visible" r:id="rId3"/>
    <sheet name="Cost per Patient" sheetId="4" state="visible" r:id="rId4"/>
    <sheet name="KPI Forecast" sheetId="5" state="visible" r:id="rId5"/>
    <sheet name="Impact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Calibri"/>
      <family val="2"/>
      <color theme="1"/>
      <sz val="11"/>
      <scheme val="minor"/>
    </font>
    <font>
      <name val="Arial"/>
      <color rgb="FF64748B"/>
      <sz val="10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color rgb="FFFFFFFF"/>
      <sz val="11"/>
    </font>
    <font>
      <name val="Arial"/>
      <b val="1"/>
      <color rgb="FF0F172A"/>
      <sz val="12"/>
    </font>
    <font>
      <name val="Arial"/>
      <b val="1"/>
      <sz val="12"/>
    </font>
    <font>
      <name val="Arial"/>
      <b val="1"/>
      <sz val="11"/>
    </font>
    <font>
      <name val="Arial"/>
      <b val="1"/>
      <color rgb="FF0F172A"/>
      <sz val="11"/>
    </font>
    <font>
      <name val="Arial"/>
      <color rgb="FF008000"/>
      <sz val="10"/>
    </font>
    <font>
      <name val="Arial"/>
      <b val="1"/>
      <color rgb="FF059669"/>
      <sz val="10"/>
    </font>
    <font>
      <name val="Arial"/>
      <b val="1"/>
      <color rgb="FF059669"/>
      <sz val="12"/>
    </font>
    <font>
      <name val="Arial"/>
      <b val="1"/>
      <color rgb="FF2563EB"/>
      <sz val="10"/>
    </font>
    <font>
      <name val="Arial"/>
      <b val="1"/>
      <color rgb="FF7C3AED"/>
      <sz val="10"/>
    </font>
    <font>
      <name val="Arial"/>
      <family val="2"/>
      <b val="1"/>
      <color rgb="FF0F172A"/>
      <sz val="14"/>
    </font>
    <font>
      <name val="Arial"/>
      <family val="2"/>
      <color rgb="FF64748B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</font>
    <font>
      <name val="Arial"/>
      <b val="1"/>
      <color rgb="001B4332"/>
      <sz val="16"/>
    </font>
    <font>
      <name val="Arial"/>
      <i val="1"/>
      <color rgb="00666666"/>
      <sz val="10"/>
    </font>
    <font>
      <name val="Arial"/>
      <b val="1"/>
      <color rgb="00FFFFFF"/>
      <sz val="13"/>
    </font>
    <font>
      <name val="Arial"/>
      <b val="1"/>
      <color rgb="001B4332"/>
      <sz val="11"/>
    </font>
    <font>
      <name val="Arial"/>
      <color rgb="00333333"/>
      <sz val="11"/>
    </font>
    <font>
      <name val="Arial"/>
      <b val="1"/>
      <color rgb="002E7D32"/>
      <sz val="14"/>
    </font>
    <font>
      <name val="Arial"/>
      <b val="1"/>
      <color rgb="001565C0"/>
      <sz val="14"/>
    </font>
    <font>
      <name val="Arial"/>
      <b val="1"/>
      <color rgb="00E65100"/>
      <sz val="14"/>
    </font>
    <font>
      <name val="Arial"/>
      <b val="1"/>
      <color rgb="00555555"/>
      <sz val="12"/>
    </font>
    <font>
      <name val="Arial"/>
      <b val="1"/>
      <color rgb="00333333"/>
      <sz val="11"/>
    </font>
    <font>
      <name val="Arial"/>
      <b val="1"/>
      <i val="1"/>
      <color rgb="001B4332"/>
      <sz val="12"/>
    </font>
    <font>
      <name val="Arial"/>
      <b val="1"/>
      <i val="1"/>
      <color rgb="001565C0"/>
      <sz val="12"/>
    </font>
    <font>
      <name val="Arial"/>
      <b val="1"/>
      <i val="1"/>
      <color rgb="00E65100"/>
      <sz val="12"/>
    </font>
  </fonts>
  <fills count="16">
    <fill>
      <patternFill/>
    </fill>
    <fill>
      <patternFill patternType="gray125"/>
    </fill>
    <fill>
      <patternFill patternType="solid">
        <fgColor rgb="FF00B87C"/>
      </patternFill>
    </fill>
    <fill>
      <patternFill patternType="solid">
        <fgColor rgb="FFEBF5FF"/>
      </patternFill>
    </fill>
    <fill>
      <patternFill patternType="solid">
        <fgColor rgb="FFFFFFCC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E8F8F0"/>
      </patternFill>
    </fill>
    <fill>
      <patternFill patternType="solid">
        <fgColor rgb="FFD1FAE5"/>
      </patternFill>
    </fill>
    <fill>
      <patternFill patternType="solid">
        <fgColor rgb="001B4332"/>
      </patternFill>
    </fill>
    <fill>
      <patternFill patternType="solid">
        <fgColor rgb="00E8F5E9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5" borderId="1" pivotButton="0" quotePrefix="0" xfId="0"/>
    <xf numFmtId="3" fontId="4" fillId="5" borderId="1" pivotButton="0" quotePrefix="0" xfId="0"/>
    <xf numFmtId="0" fontId="4" fillId="0" borderId="1" pivotButton="0" quotePrefix="0" xfId="0"/>
    <xf numFmtId="3" fontId="4" fillId="4" borderId="1" pivotButton="0" quotePrefix="0" xfId="0"/>
    <xf numFmtId="164" fontId="4" fillId="5" borderId="1" pivotButton="0" quotePrefix="0" xfId="0"/>
    <xf numFmtId="164" fontId="4" fillId="4" borderId="1" pivotButton="0" quotePrefix="0" xfId="0"/>
    <xf numFmtId="0" fontId="4" fillId="4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3" fillId="7" borderId="1" pivotButton="0" quotePrefix="0" xfId="0"/>
    <xf numFmtId="3" fontId="3" fillId="7" borderId="1" pivotButton="0" quotePrefix="0" xfId="0"/>
    <xf numFmtId="0" fontId="6" fillId="8" borderId="2" pivotButton="0" quotePrefix="0" xfId="0"/>
    <xf numFmtId="3" fontId="7" fillId="8" borderId="2" pivotButton="0" quotePrefix="0" xfId="0"/>
    <xf numFmtId="0" fontId="4" fillId="8" borderId="2" pivotButton="0" quotePrefix="0" xfId="0"/>
    <xf numFmtId="3" fontId="4" fillId="0" borderId="1" pivotButton="0" quotePrefix="0" xfId="0"/>
    <xf numFmtId="0" fontId="8" fillId="8" borderId="2" pivotButton="0" quotePrefix="0" xfId="0"/>
    <xf numFmtId="3" fontId="8" fillId="8" borderId="2" pivotButton="0" quotePrefix="0" xfId="0"/>
    <xf numFmtId="0" fontId="0" fillId="8" borderId="2" pivotButton="0" quotePrefix="0" xfId="0"/>
    <xf numFmtId="0" fontId="9" fillId="0" borderId="0" pivotButton="0" quotePrefix="0" xfId="0"/>
    <xf numFmtId="3" fontId="10" fillId="0" borderId="0" pivotButton="0" quotePrefix="0" xfId="0"/>
    <xf numFmtId="3" fontId="12" fillId="8" borderId="2" pivotButton="0" quotePrefix="0" xfId="0"/>
    <xf numFmtId="164" fontId="4" fillId="0" borderId="1" pivotButton="0" quotePrefix="0" xfId="0"/>
    <xf numFmtId="0" fontId="8" fillId="8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left"/>
    </xf>
    <xf numFmtId="0" fontId="16" fillId="0" borderId="0" pivotButton="0" quotePrefix="0" xfId="0"/>
    <xf numFmtId="0" fontId="17" fillId="2" borderId="1" applyAlignment="1" pivotButton="0" quotePrefix="0" xfId="0">
      <alignment horizontal="center" vertical="center" wrapText="1"/>
    </xf>
    <xf numFmtId="0" fontId="18" fillId="5" borderId="1" pivotButton="0" quotePrefix="0" xfId="0"/>
    <xf numFmtId="0" fontId="19" fillId="8" borderId="2" pivotButton="0" quotePrefix="0" xfId="0"/>
    <xf numFmtId="0" fontId="19" fillId="8" borderId="1" pivotButton="0" quotePrefix="0" xfId="0"/>
    <xf numFmtId="0" fontId="18" fillId="0" borderId="1" pivotButton="0" quotePrefix="0" xfId="0"/>
    <xf numFmtId="0" fontId="21" fillId="0" borderId="0" applyAlignment="1" pivotButton="0" quotePrefix="0" xfId="0">
      <alignment vertical="center"/>
    </xf>
    <xf numFmtId="0" fontId="22" fillId="0" borderId="0" pivotButton="0" quotePrefix="0" xfId="0"/>
    <xf numFmtId="0" fontId="20" fillId="0" borderId="1" pivotButton="0" quotePrefix="0" xfId="0"/>
    <xf numFmtId="0" fontId="23" fillId="9" borderId="3" pivotButton="0" quotePrefix="0" xfId="0"/>
    <xf numFmtId="0" fontId="24" fillId="10" borderId="3" applyAlignment="1" pivotButton="0" quotePrefix="0" xfId="0">
      <alignment vertical="center" wrapText="1"/>
    </xf>
    <xf numFmtId="0" fontId="25" fillId="10" borderId="3" applyAlignment="1" pivotButton="0" quotePrefix="0" xfId="0">
      <alignment vertical="center" wrapText="1"/>
    </xf>
    <xf numFmtId="0" fontId="26" fillId="10" borderId="3" applyAlignment="1" pivotButton="0" quotePrefix="0" xfId="0">
      <alignment vertical="center" wrapText="1"/>
    </xf>
    <xf numFmtId="0" fontId="23" fillId="11" borderId="3" pivotButton="0" quotePrefix="0" xfId="0"/>
    <xf numFmtId="0" fontId="24" fillId="12" borderId="3" applyAlignment="1" pivotButton="0" quotePrefix="0" xfId="0">
      <alignment vertical="center" wrapText="1"/>
    </xf>
    <xf numFmtId="0" fontId="25" fillId="12" borderId="3" applyAlignment="1" pivotButton="0" quotePrefix="0" xfId="0">
      <alignment vertical="center" wrapText="1"/>
    </xf>
    <xf numFmtId="0" fontId="27" fillId="12" borderId="3" applyAlignment="1" pivotButton="0" quotePrefix="0" xfId="0">
      <alignment vertical="center" wrapText="1"/>
    </xf>
    <xf numFmtId="0" fontId="23" fillId="13" borderId="3" pivotButton="0" quotePrefix="0" xfId="0"/>
    <xf numFmtId="0" fontId="24" fillId="14" borderId="3" applyAlignment="1" pivotButton="0" quotePrefix="0" xfId="0">
      <alignment vertical="center" wrapText="1"/>
    </xf>
    <xf numFmtId="0" fontId="25" fillId="14" borderId="3" applyAlignment="1" pivotButton="0" quotePrefix="0" xfId="0">
      <alignment vertical="center" wrapText="1"/>
    </xf>
    <xf numFmtId="0" fontId="28" fillId="14" borderId="3" applyAlignment="1" pivotButton="0" quotePrefix="0" xfId="0">
      <alignment vertical="center" wrapText="1"/>
    </xf>
    <xf numFmtId="0" fontId="29" fillId="0" borderId="0" pivotButton="0" quotePrefix="0" xfId="0"/>
    <xf numFmtId="0" fontId="25" fillId="15" borderId="3" applyAlignment="1" pivotButton="0" quotePrefix="0" xfId="0">
      <alignment vertical="center" wrapText="1"/>
    </xf>
    <xf numFmtId="0" fontId="30" fillId="15" borderId="3" applyAlignment="1" pivotButton="0" quotePrefix="0" xfId="0">
      <alignment vertical="center" wrapText="1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D56"/>
  <sheetViews>
    <sheetView zoomScale="161" workbookViewId="0">
      <selection activeCell="D16" sqref="D16"/>
    </sheetView>
  </sheetViews>
  <sheetFormatPr baseColWidth="10" defaultColWidth="8.83203125" defaultRowHeight="15"/>
  <cols>
    <col width="42" customWidth="1" style="25" min="1" max="1"/>
    <col width="22" customWidth="1" style="25" min="2" max="2"/>
    <col width="16" customWidth="1" style="25" min="3" max="3"/>
    <col width="45" customWidth="1" style="25" min="4" max="4"/>
  </cols>
  <sheetData>
    <row r="1" ht="28" customHeight="1" s="25">
      <c r="A1" s="30" t="inlineStr">
        <is>
          <t>Key Assumptions</t>
        </is>
      </c>
    </row>
    <row r="2" ht="18" customHeight="1" s="25"/>
    <row r="3">
      <c r="A3" s="1" t="inlineStr">
        <is>
          <t>ข้อมูลประชากรและ Coverage Gap</t>
        </is>
      </c>
      <c r="B3" s="1" t="n"/>
      <c r="C3" s="1" t="n"/>
      <c r="D3" s="1" t="n"/>
    </row>
    <row r="4">
      <c r="A4" s="2" t="inlineStr">
        <is>
          <t>รายการ</t>
        </is>
      </c>
      <c r="B4" s="2" t="inlineStr">
        <is>
          <t>ค่า</t>
        </is>
      </c>
      <c r="C4" s="2" t="inlineStr">
        <is>
          <t>หน่วย</t>
        </is>
      </c>
      <c r="D4" s="2" t="inlineStr">
        <is>
          <t>Source</t>
        </is>
      </c>
    </row>
    <row r="5">
      <c r="A5" s="3" t="inlineStr">
        <is>
          <t>ผู้สูงอายุทั้งหมด (ปี 2567)</t>
        </is>
      </c>
      <c r="B5" s="4" t="n">
        <v>13940000</v>
      </c>
      <c r="C5" s="3" t="inlineStr">
        <is>
          <t>คน</t>
        </is>
      </c>
      <c r="D5" s="3" t="inlineStr">
        <is>
          <t>NSO Survey 2567</t>
        </is>
      </c>
    </row>
    <row r="6">
      <c r="A6" s="5" t="inlineStr">
        <is>
          <t>ผู้สูงอายุภาวะพึ่งพิง (ติดบ้าน+ติดเตียง)</t>
        </is>
      </c>
      <c r="B6" s="6" t="n">
        <v>686000</v>
      </c>
      <c r="C6" s="5" t="inlineStr">
        <is>
          <t>คน</t>
        </is>
      </c>
      <c r="D6" s="5" t="inlineStr">
        <is>
          <t>ERIA LTC Thailand Report</t>
        </is>
      </c>
    </row>
    <row r="7">
      <c r="A7" s="3" t="inlineStr">
        <is>
          <t>เข้าถึงระบบ LTC จริง</t>
        </is>
      </c>
      <c r="B7" s="4" t="n">
        <v>300000</v>
      </c>
      <c r="C7" s="3" t="inlineStr">
        <is>
          <t>คน</t>
        </is>
      </c>
      <c r="D7" s="3" t="inlineStr">
        <is>
          <t>Pitch Deck / ERIA</t>
        </is>
      </c>
    </row>
    <row r="8">
      <c r="A8" s="5" t="inlineStr">
        <is>
          <t>ตกหล่นจากระบบ</t>
        </is>
      </c>
      <c r="B8" s="6" t="n">
        <v>387000</v>
      </c>
      <c r="C8" s="5" t="inlineStr">
        <is>
          <t>คน</t>
        </is>
      </c>
      <c r="D8" s="5" t="inlineStr">
        <is>
          <t>686,000 - 300,000 = 56%</t>
        </is>
      </c>
    </row>
    <row r="9">
      <c r="A9" s="3" t="inlineStr">
        <is>
          <t>ถูกคัดกรองแล้ว (% ของผู้สูงอายุ)</t>
        </is>
      </c>
      <c r="B9" s="7" t="n">
        <v>0.55</v>
      </c>
      <c r="C9" s="3" t="inlineStr">
        <is>
          <t>%</t>
        </is>
      </c>
      <c r="D9" s="3" t="inlineStr">
        <is>
          <t>LTC_book.pdf บทที่ 5 หน้า 158</t>
        </is>
      </c>
    </row>
    <row r="10">
      <c r="A10" s="5" t="inlineStr">
        <is>
          <t>ผู้สูงอายุที่ไม่เคยถูกคัดกรอง</t>
        </is>
      </c>
      <c r="B10" s="6" t="n">
        <v>6270000</v>
      </c>
      <c r="C10" s="5" t="inlineStr">
        <is>
          <t>คน</t>
        </is>
      </c>
      <c r="D10" s="5" t="inlineStr">
        <is>
          <t>45% × 13.94M</t>
        </is>
      </c>
    </row>
    <row r="11">
      <c r="A11" s="3" t="inlineStr">
        <is>
          <t>Coverage ในเขตเทศบาล</t>
        </is>
      </c>
      <c r="B11" s="7" t="n">
        <v>0.609</v>
      </c>
      <c r="C11" s="3" t="inlineStr">
        <is>
          <t>%</t>
        </is>
      </c>
      <c r="D11" s="3" t="inlineStr">
        <is>
          <t>LTC_book.pdf ตาราง 25 หน้า 174</t>
        </is>
      </c>
    </row>
    <row r="12">
      <c r="A12" s="5" t="inlineStr">
        <is>
          <t>Coverage นอกเขตเทศบาล</t>
        </is>
      </c>
      <c r="B12" s="8" t="n">
        <v>0.8199</v>
      </c>
      <c r="C12" s="5" t="inlineStr">
        <is>
          <t>%</t>
        </is>
      </c>
      <c r="D12" s="5" t="inlineStr">
        <is>
          <t>LTC_book.pdf ตาราง 25 หน้า 174</t>
        </is>
      </c>
    </row>
    <row r="14">
      <c r="A14" s="1" t="inlineStr">
        <is>
          <t>งบประมาณและต้นทุน LTC</t>
        </is>
      </c>
      <c r="B14" s="1" t="n"/>
      <c r="C14" s="1" t="n"/>
      <c r="D14" s="1" t="n"/>
    </row>
    <row r="15">
      <c r="A15" s="2" t="inlineStr">
        <is>
          <t>รายการ</t>
        </is>
      </c>
      <c r="B15" s="2" t="inlineStr">
        <is>
          <t>ค่า</t>
        </is>
      </c>
      <c r="C15" s="2" t="inlineStr">
        <is>
          <t>หน่วย</t>
        </is>
      </c>
      <c r="D15" s="2" t="inlineStr">
        <is>
          <t>Source</t>
        </is>
      </c>
    </row>
    <row r="16">
      <c r="A16" s="5" t="inlineStr">
        <is>
          <t>งบ LTC capitation</t>
        </is>
      </c>
      <c r="B16" s="6" t="n">
        <v>6000</v>
      </c>
      <c r="C16" s="5" t="inlineStr">
        <is>
          <t>THB/คน/ปี</t>
        </is>
      </c>
      <c r="D16" s="5" t="inlineStr">
        <is>
          <t>สปสช. ปี 2568-2569</t>
        </is>
      </c>
    </row>
    <row r="17">
      <c r="A17" s="3" t="inlineStr">
        <is>
          <t>ต้นทุนจริง (Option 1 ขั้นต่ำ)</t>
        </is>
      </c>
      <c r="B17" s="4" t="n">
        <v>24732</v>
      </c>
      <c r="C17" s="3" t="inlineStr">
        <is>
          <t>THB/คน/ปี</t>
        </is>
      </c>
      <c r="D17" s="3" t="inlineStr">
        <is>
          <t>LTC_book.pdf ตาราง 21 หน้า 161</t>
        </is>
      </c>
    </row>
    <row r="18">
      <c r="A18" s="5" t="inlineStr">
        <is>
          <t>ต้นทุนจริง (Option 2 แนะนำ)</t>
        </is>
      </c>
      <c r="B18" s="6" t="n">
        <v>32680</v>
      </c>
      <c r="C18" s="5" t="inlineStr">
        <is>
          <t>THB/คน/ปี</t>
        </is>
      </c>
      <c r="D18" s="5" t="inlineStr">
        <is>
          <t>LTC_book.pdf ตาราง 21 หน้า 161</t>
        </is>
      </c>
    </row>
    <row r="19">
      <c r="A19" s="3" t="inlineStr">
        <is>
          <t>ต้นทุนจริง (Option 3 เต็มรูปแบบ)</t>
        </is>
      </c>
      <c r="B19" s="4" t="n">
        <v>44677</v>
      </c>
      <c r="C19" s="3" t="inlineStr">
        <is>
          <t>THB/คน/ปี</t>
        </is>
      </c>
      <c r="D19" s="3" t="inlineStr">
        <is>
          <t>LTC_book.pdf ตาราง 21 หน้า 161</t>
        </is>
      </c>
    </row>
    <row r="20">
      <c r="A20" s="5" t="inlineStr">
        <is>
          <t>งบ LTC ครอบคลุมต้นทุนจริง (%)</t>
        </is>
      </c>
      <c r="B20" s="8" t="n">
        <v>0.24</v>
      </c>
      <c r="C20" s="5" t="inlineStr">
        <is>
          <t>%</t>
        </is>
      </c>
      <c r="D20" s="5" t="inlineStr">
        <is>
          <t>6,000 / 24,732 = 24%</t>
        </is>
      </c>
    </row>
    <row r="22">
      <c r="A22" s="1" t="inlineStr">
        <is>
          <t>ค่าผ้าอ้อมและวัสดุ</t>
        </is>
      </c>
      <c r="B22" s="1" t="n"/>
      <c r="C22" s="1" t="n"/>
      <c r="D22" s="1" t="n"/>
    </row>
    <row r="23">
      <c r="A23" s="2" t="inlineStr">
        <is>
          <t>รายการ</t>
        </is>
      </c>
      <c r="B23" s="2" t="inlineStr">
        <is>
          <t>ค่า</t>
        </is>
      </c>
      <c r="C23" s="2" t="inlineStr">
        <is>
          <t>หน่วย</t>
        </is>
      </c>
      <c r="D23" s="2" t="inlineStr">
        <is>
          <t>Source</t>
        </is>
      </c>
    </row>
    <row r="24">
      <c r="A24" s="5" t="inlineStr">
        <is>
          <t>ราคากลางรัฐบาล (ผ้าอ้อม)</t>
        </is>
      </c>
      <c r="B24" s="9" t="n">
        <v>9.5</v>
      </c>
      <c r="C24" s="5" t="inlineStr">
        <is>
          <t>THB/ชิ้น</t>
        </is>
      </c>
      <c r="D24" s="5" t="inlineStr">
        <is>
          <t>สปสช. ประกาศราคากลาง</t>
        </is>
      </c>
    </row>
    <row r="25">
      <c r="A25" s="3" t="inlineStr">
        <is>
          <t>ราคาตลาดจริง (ผ้าอ้อม)</t>
        </is>
      </c>
      <c r="B25" s="3" t="n">
        <v>15.27</v>
      </c>
      <c r="C25" s="3" t="inlineStr">
        <is>
          <t>THB/ชิ้น</t>
        </is>
      </c>
      <c r="D25" s="3" t="inlineStr">
        <is>
          <t>LTC_book.pdf ตาราง 13 หน้า 146</t>
        </is>
      </c>
    </row>
    <row r="26">
      <c r="A26" s="5" t="inlineStr">
        <is>
          <t>ราคากลาง (แผ่นรองซับ)</t>
        </is>
      </c>
      <c r="B26" s="9" t="n">
        <v>4.7</v>
      </c>
      <c r="C26" s="5" t="inlineStr">
        <is>
          <t>THB/ชิ้น</t>
        </is>
      </c>
      <c r="D26" s="5" t="inlineStr">
        <is>
          <t>สปสช.</t>
        </is>
      </c>
    </row>
    <row r="27">
      <c r="A27" s="3" t="inlineStr">
        <is>
          <t>ราคาตลาด (แผ่นรองซับ)</t>
        </is>
      </c>
      <c r="B27" s="3" t="n">
        <v>8.17</v>
      </c>
      <c r="C27" s="3" t="inlineStr">
        <is>
          <t>THB/ชิ้น</t>
        </is>
      </c>
      <c r="D27" s="3" t="inlineStr">
        <is>
          <t>LTC_book.pdf</t>
        </is>
      </c>
    </row>
    <row r="28">
      <c r="A28" s="5" t="inlineStr">
        <is>
          <t>ผ้าอ้อมใช้/สัปดาห์ (ติดเตียง)</t>
        </is>
      </c>
      <c r="B28" s="9" t="n">
        <v>20.1</v>
      </c>
      <c r="C28" s="5" t="inlineStr">
        <is>
          <t>ชิ้น</t>
        </is>
      </c>
      <c r="D28" s="5" t="inlineStr">
        <is>
          <t>LTC_book.pdf หน้า 146</t>
        </is>
      </c>
    </row>
    <row r="29">
      <c r="A29" s="3" t="inlineStr">
        <is>
          <t>ค่าผ้าอ้อม/คน/เดือน</t>
        </is>
      </c>
      <c r="B29" s="4" t="n">
        <v>1320</v>
      </c>
      <c r="C29" s="3" t="inlineStr">
        <is>
          <t>THB</t>
        </is>
      </c>
      <c r="D29" s="3" t="inlineStr">
        <is>
          <t>20.1 × 4.33 × 15.27</t>
        </is>
      </c>
    </row>
    <row r="30">
      <c r="A30" s="5" t="inlineStr">
        <is>
          <t>ค่าแผ่นรองซับ/คน/เดือน</t>
        </is>
      </c>
      <c r="B30" s="9" t="n">
        <v>468</v>
      </c>
      <c r="C30" s="5" t="inlineStr">
        <is>
          <t>THB</t>
        </is>
      </c>
      <c r="D30" s="5" t="inlineStr">
        <is>
          <t>13.3 × 4.33 × 8.17</t>
        </is>
      </c>
    </row>
    <row r="31">
      <c r="A31" s="3" t="inlineStr">
        <is>
          <t>รวมค่าวัสดุสิ้นเปลือง/คน/เดือน</t>
        </is>
      </c>
      <c r="B31" s="4" t="n">
        <v>3242</v>
      </c>
      <c r="C31" s="3" t="inlineStr">
        <is>
          <t>THB</t>
        </is>
      </c>
      <c r="D31" s="3" t="inlineStr">
        <is>
          <t>LTC_book.pdf</t>
        </is>
      </c>
    </row>
    <row r="32">
      <c r="A32" s="5" t="inlineStr">
        <is>
          <t>ค่าดูแล LTC ทั้งหมด/คน/เดือน (ติดเตียง)</t>
        </is>
      </c>
      <c r="B32" s="6" t="n">
        <v>19129</v>
      </c>
      <c r="C32" s="5" t="inlineStr">
        <is>
          <t>THB</t>
        </is>
      </c>
      <c r="D32" s="5" t="inlineStr">
        <is>
          <t>LTC_book.pdf</t>
        </is>
      </c>
    </row>
    <row r="34">
      <c r="A34" s="1" t="inlineStr">
        <is>
          <t>บุคลากร</t>
        </is>
      </c>
      <c r="B34" s="1" t="n"/>
      <c r="C34" s="1" t="n"/>
      <c r="D34" s="1" t="n"/>
    </row>
    <row r="35">
      <c r="A35" s="2" t="inlineStr">
        <is>
          <t>รายการ</t>
        </is>
      </c>
      <c r="B35" s="2" t="inlineStr">
        <is>
          <t>ค่า</t>
        </is>
      </c>
      <c r="C35" s="2" t="inlineStr">
        <is>
          <t>หน่วย</t>
        </is>
      </c>
      <c r="D35" s="2" t="inlineStr">
        <is>
          <t>Source</t>
        </is>
      </c>
    </row>
    <row r="36">
      <c r="A36" s="5" t="inlineStr">
        <is>
          <t>CM ทั้งระบบ (ปี 2567)</t>
        </is>
      </c>
      <c r="B36" s="6" t="n">
        <v>20220</v>
      </c>
      <c r="C36" s="5" t="inlineStr">
        <is>
          <t>คน</t>
        </is>
      </c>
      <c r="D36" s="5" t="inlineStr">
        <is>
          <t>LTC_book.pdf ตาราง 11 หน้า 137</t>
        </is>
      </c>
    </row>
    <row r="37">
      <c r="A37" s="3" t="inlineStr">
        <is>
          <t>CG ทั้งระบบ (ปี 2567)</t>
        </is>
      </c>
      <c r="B37" s="4" t="n">
        <v>106650</v>
      </c>
      <c r="C37" s="3" t="inlineStr">
        <is>
          <t>คน</t>
        </is>
      </c>
      <c r="D37" s="3" t="inlineStr">
        <is>
          <t>LTC_book.pdf ตาราง 11</t>
        </is>
      </c>
    </row>
    <row r="38">
      <c r="A38" s="5" t="inlineStr">
        <is>
          <t>CG:CM ratio</t>
        </is>
      </c>
      <c r="B38" s="9" t="n">
        <v>5.3</v>
      </c>
      <c r="C38" s="5" t="inlineStr">
        <is>
          <t>ต่อ 1</t>
        </is>
      </c>
      <c r="D38" s="5" t="inlineStr">
        <is>
          <t>LTC_book.pdf</t>
        </is>
      </c>
    </row>
    <row r="39">
      <c r="A39" s="3" t="inlineStr">
        <is>
          <t>CM ค่าตอบแทน/care plan</t>
        </is>
      </c>
      <c r="B39" s="3" t="n">
        <v>100</v>
      </c>
      <c r="C39" s="3" t="inlineStr">
        <is>
          <t>THB/ราย</t>
        </is>
      </c>
      <c r="D39" s="3" t="inlineStr">
        <is>
          <t>LTC_book.pdf หน้า 135</t>
        </is>
      </c>
    </row>
    <row r="40">
      <c r="A40" s="5" t="inlineStr">
        <is>
          <t>CG ค่าตอบแทนจริง/เดือน</t>
        </is>
      </c>
      <c r="B40" s="6" t="n">
        <v>1620</v>
      </c>
      <c r="C40" s="5" t="inlineStr">
        <is>
          <t>THB</t>
        </is>
      </c>
      <c r="D40" s="5" t="inlineStr">
        <is>
          <t>Khongboon et al. 2023</t>
        </is>
      </c>
    </row>
    <row r="41">
      <c r="A41" s="3" t="inlineStr">
        <is>
          <t>CG เป้าหมาย</t>
        </is>
      </c>
      <c r="B41" s="4" t="n">
        <v>50000</v>
      </c>
      <c r="C41" s="3" t="inlineStr">
        <is>
          <t>คน</t>
        </is>
      </c>
      <c r="D41" s="3" t="inlineStr">
        <is>
          <t>แผนยุทธศาสตร์</t>
        </is>
      </c>
    </row>
    <row r="42">
      <c r="A42" s="5" t="inlineStr">
        <is>
          <t>CG ขาดแคลน (ปี 2569)</t>
        </is>
      </c>
      <c r="B42" s="6" t="n">
        <v>117075</v>
      </c>
      <c r="C42" s="5" t="inlineStr">
        <is>
          <t>คน</t>
        </is>
      </c>
      <c r="D42" s="5" t="inlineStr">
        <is>
          <t>LTC_book.pdf หน้า 139</t>
        </is>
      </c>
    </row>
    <row r="44">
      <c r="A44" s="1" t="inlineStr">
        <is>
          <t>โครงสร้างพื้นฐานที่มีอยู่</t>
        </is>
      </c>
      <c r="B44" s="1" t="n"/>
      <c r="C44" s="1" t="n"/>
      <c r="D44" s="1" t="n"/>
    </row>
    <row r="45">
      <c r="A45" s="2" t="inlineStr">
        <is>
          <t>รายการ</t>
        </is>
      </c>
      <c r="B45" s="2" t="inlineStr">
        <is>
          <t>ค่า</t>
        </is>
      </c>
      <c r="C45" s="2" t="inlineStr">
        <is>
          <t>หน่วย</t>
        </is>
      </c>
      <c r="D45" s="2" t="inlineStr">
        <is>
          <t>Source</t>
        </is>
      </c>
    </row>
    <row r="46">
      <c r="A46" s="5" t="inlineStr">
        <is>
          <t>รพ. ใช้ HOSxP</t>
        </is>
      </c>
      <c r="B46" s="9" t="n">
        <v>800</v>
      </c>
      <c r="C46" s="5" t="inlineStr">
        <is>
          <t>แห่ง</t>
        </is>
      </c>
      <c r="D46" s="5" t="inlineStr">
        <is>
          <t>Pitch Deck</t>
        </is>
      </c>
    </row>
    <row r="47">
      <c r="A47" s="3" t="inlineStr">
        <is>
          <t>อสม. ทั่วประเทศ</t>
        </is>
      </c>
      <c r="B47" s="4" t="n">
        <v>1000000</v>
      </c>
      <c r="C47" s="3" t="inlineStr">
        <is>
          <t>คน</t>
        </is>
      </c>
      <c r="D47" s="3" t="inlineStr">
        <is>
          <t>Pitch Deck</t>
        </is>
      </c>
    </row>
    <row r="48">
      <c r="A48" s="5" t="inlineStr">
        <is>
          <t>อปท. เข้าร่วมโครงการผ้าอ้อม 2566</t>
        </is>
      </c>
      <c r="B48" s="6" t="n">
        <v>1876</v>
      </c>
      <c r="C48" s="5" t="inlineStr">
        <is>
          <t>แห่ง</t>
        </is>
      </c>
      <c r="D48" s="5" t="inlineStr">
        <is>
          <t>LTC_book.pdf</t>
        </is>
      </c>
    </row>
    <row r="49">
      <c r="A49" s="3" t="inlineStr">
        <is>
          <t>อปท. ที่จะยุติโครงการเมื่องบหมด</t>
        </is>
      </c>
      <c r="B49" s="7" t="n">
        <v>0.2</v>
      </c>
      <c r="C49" s="3" t="inlineStr">
        <is>
          <t>%</t>
        </is>
      </c>
      <c r="D49" s="3" t="inlineStr">
        <is>
          <t>LTC_book.pdf ตาราง 22 หน้า 164</t>
        </is>
      </c>
    </row>
    <row r="51">
      <c r="A51" s="1" t="inlineStr">
        <is>
          <t>ค่ารักษาพยาบาลที่เกี่ยวข้อง</t>
        </is>
      </c>
      <c r="B51" s="1" t="n"/>
      <c r="C51" s="1" t="n"/>
      <c r="D51" s="1" t="n"/>
    </row>
    <row r="52">
      <c r="A52" s="2" t="inlineStr">
        <is>
          <t>รายการ</t>
        </is>
      </c>
      <c r="B52" s="2" t="inlineStr">
        <is>
          <t>ค่า</t>
        </is>
      </c>
      <c r="C52" s="2" t="inlineStr">
        <is>
          <t>หน่วย</t>
        </is>
      </c>
      <c r="D52" s="2" t="inlineStr">
        <is>
          <t>Source</t>
        </is>
      </c>
    </row>
    <row r="53">
      <c r="A53" s="3" t="inlineStr">
        <is>
          <t>ค่า readmission เฉลี่ย</t>
        </is>
      </c>
      <c r="B53" s="4" t="n">
        <v>75000</v>
      </c>
      <c r="C53" s="3" t="inlineStr">
        <is>
          <t>THB/ครั้ง</t>
        </is>
      </c>
      <c r="D53" s="3" t="inlineStr">
        <is>
          <t>ข้อมูล DRG เฉลี่ย</t>
        </is>
      </c>
    </row>
    <row r="54">
      <c r="A54" s="5" t="inlineStr">
        <is>
          <t>ค่ารักษา pressure wound</t>
        </is>
      </c>
      <c r="B54" s="6" t="n">
        <v>22500</v>
      </c>
      <c r="C54" s="5" t="inlineStr">
        <is>
          <t>THB/case</t>
        </is>
      </c>
      <c r="D54" s="5" t="inlineStr">
        <is>
          <t>ประมาณการจาก รพ.</t>
        </is>
      </c>
    </row>
    <row r="55">
      <c r="A55" s="3" t="inlineStr">
        <is>
          <t>ค่ารักษา UTI (urinary tract infection)</t>
        </is>
      </c>
      <c r="B55" s="4" t="n">
        <v>15000</v>
      </c>
      <c r="C55" s="3" t="inlineStr">
        <is>
          <t>THB/ครั้ง</t>
        </is>
      </c>
      <c r="D55" s="3" t="inlineStr">
        <is>
          <t>ประมาณการ</t>
        </is>
      </c>
    </row>
    <row r="56">
      <c r="A56" s="5" t="inlineStr">
        <is>
          <t>Readmission rate ที่ป้องกันได้ด้วย early LTC</t>
        </is>
      </c>
      <c r="B56" s="8" t="n">
        <v>0.2</v>
      </c>
      <c r="C56" s="5" t="inlineStr">
        <is>
          <t>%</t>
        </is>
      </c>
      <c r="D56" s="5" t="inlineStr">
        <is>
          <t>Literature estimate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563EB"/>
    <outlinePr summaryBelow="1" summaryRight="1"/>
    <pageSetUpPr/>
  </sheetPr>
  <dimension ref="A1:C23"/>
  <sheetViews>
    <sheetView tabSelected="1" zoomScale="116" workbookViewId="0">
      <selection activeCell="A17" sqref="A17"/>
    </sheetView>
  </sheetViews>
  <sheetFormatPr baseColWidth="10" defaultColWidth="8.83203125" defaultRowHeight="15"/>
  <cols>
    <col width="48" customWidth="1" style="25" min="1" max="1"/>
    <col width="22" customWidth="1" style="25" min="2" max="2"/>
    <col width="32" customWidth="1" style="25" min="3" max="3"/>
  </cols>
  <sheetData>
    <row r="1" ht="28" customHeight="1" s="25">
      <c r="A1" s="30" t="inlineStr">
        <is>
          <t>CAPEX</t>
        </is>
      </c>
    </row>
    <row r="2" ht="18" customHeight="1" s="25">
      <c r="A2" s="31" t="inlineStr">
        <is>
          <t>ค่าพัฒนาระบบ LaPooPoo Platform ประมาณการสำหรับ Phase 1 Pilot</t>
        </is>
      </c>
    </row>
    <row r="4">
      <c r="A4" s="10" t="inlineStr">
        <is>
          <t>รายการ</t>
        </is>
      </c>
      <c r="B4" s="10" t="inlineStr">
        <is>
          <t>จำนวนเงิน (THB)</t>
        </is>
      </c>
      <c r="C4" s="10" t="inlineStr">
        <is>
          <t>หมายเหตุ</t>
        </is>
      </c>
    </row>
    <row r="5">
      <c r="A5" s="32" t="inlineStr">
        <is>
          <t>Platform Development</t>
        </is>
      </c>
      <c r="B5" s="1" t="n"/>
      <c r="C5" s="1" t="n"/>
    </row>
    <row r="6">
      <c r="A6" s="5" t="inlineStr">
        <is>
          <t xml:space="preserve">   Frontend Dashboard (Next.js / React)</t>
        </is>
      </c>
      <c r="B6" s="6" t="n">
        <v>300000</v>
      </c>
      <c r="C6" s="5" t="inlineStr">
        <is>
          <t>UI, responsive, 11 tabs</t>
        </is>
      </c>
    </row>
    <row r="7">
      <c r="A7" s="5" t="inlineStr">
        <is>
          <t xml:space="preserve">   Backend API &amp; HOSxP Integration</t>
        </is>
      </c>
      <c r="B7" s="6" t="n">
        <v>500000</v>
      </c>
      <c r="C7" s="5" t="inlineStr">
        <is>
          <t>HL7 FHIR adapter, ICD-10 trigger</t>
        </is>
      </c>
    </row>
    <row r="8">
      <c r="A8" s="5" t="inlineStr">
        <is>
          <t xml:space="preserve">   AI Care Plan Engine (LLM + RAG)</t>
        </is>
      </c>
      <c r="B8" s="6" t="n">
        <v>200000</v>
      </c>
      <c r="C8" s="5" t="inlineStr">
        <is>
          <t>Groq qwen3-32b, prompt engineering</t>
        </is>
      </c>
    </row>
    <row r="9">
      <c r="A9" s="5" t="inlineStr">
        <is>
          <t xml:space="preserve">   Line OA Agent Development</t>
        </is>
      </c>
      <c r="B9" s="6" t="n">
        <v>150000</v>
      </c>
      <c r="C9" s="5" t="inlineStr">
        <is>
          <t>ADL assessment chatbot, QR tracking</t>
        </is>
      </c>
    </row>
    <row r="10">
      <c r="A10" s="5" t="inlineStr">
        <is>
          <t xml:space="preserve">   Command Center Dashboard (สปสช.)</t>
        </is>
      </c>
      <c r="B10" s="6" t="n">
        <v>250000</v>
      </c>
      <c r="C10" s="5" t="inlineStr">
        <is>
          <t>Realtime SLA, coverage maps</t>
        </is>
      </c>
    </row>
    <row r="11">
      <c r="A11" s="11" t="inlineStr">
        <is>
          <t xml:space="preserve">   Subtotal Platform Development</t>
        </is>
      </c>
      <c r="B11" s="12">
        <f>SUM(B6:B10)</f>
        <v/>
      </c>
      <c r="C11" s="11" t="n"/>
    </row>
    <row r="12">
      <c r="A12" s="32" t="inlineStr">
        <is>
          <t>Infrastructure Setup</t>
        </is>
      </c>
      <c r="B12" s="1" t="n"/>
      <c r="C12" s="1" t="n"/>
    </row>
    <row r="13">
      <c r="A13" s="5" t="inlineStr">
        <is>
          <t xml:space="preserve">   Cloud Server &amp; CDN (Vercel/AWS)</t>
        </is>
      </c>
      <c r="B13" s="6" t="n">
        <v>50000</v>
      </c>
      <c r="C13" s="5" t="inlineStr">
        <is>
          <t>Initial provisioning</t>
        </is>
      </c>
    </row>
    <row r="14">
      <c r="A14" s="5" t="inlineStr">
        <is>
          <t xml:space="preserve">   Security &amp; Compliance Audit</t>
        </is>
      </c>
      <c r="B14" s="6" t="n">
        <v>100000</v>
      </c>
      <c r="C14" s="5" t="inlineStr">
        <is>
          <t>PDPA, data encryption, pen-test</t>
        </is>
      </c>
    </row>
    <row r="15">
      <c r="A15" s="5" t="inlineStr">
        <is>
          <t xml:space="preserve">   Database Setup (PostgreSQL)</t>
        </is>
      </c>
      <c r="B15" s="6" t="n">
        <v>30000</v>
      </c>
      <c r="C15" s="5" t="inlineStr">
        <is>
          <t>Schema, migration, backup config</t>
        </is>
      </c>
    </row>
    <row r="16">
      <c r="A16" s="11" t="inlineStr">
        <is>
          <t xml:space="preserve">   Subtotal Infrastructure</t>
        </is>
      </c>
      <c r="B16" s="12">
        <f>SUM(B13:B15)</f>
        <v/>
      </c>
      <c r="C16" s="11" t="n"/>
    </row>
    <row r="17">
      <c r="A17" s="32" t="inlineStr">
        <is>
          <t>Training &amp; Onboarding</t>
        </is>
      </c>
      <c r="B17" s="1" t="n"/>
      <c r="C17" s="1" t="n"/>
    </row>
    <row r="18">
      <c r="A18" s="5" t="inlineStr">
        <is>
          <t xml:space="preserve">   อสม. Training Materials &amp; Workshop</t>
        </is>
      </c>
      <c r="B18" s="6" t="n">
        <v>80000</v>
      </c>
      <c r="C18" s="5" t="inlineStr">
        <is>
          <t>Line OA tutorial, video guides</t>
        </is>
      </c>
    </row>
    <row r="19">
      <c r="A19" s="5" t="inlineStr">
        <is>
          <t xml:space="preserve">   CM Training Program</t>
        </is>
      </c>
      <c r="B19" s="6" t="n">
        <v>50000</v>
      </c>
      <c r="C19" s="5" t="inlineStr">
        <is>
          <t>AI-assisted workflow, dashboard</t>
        </is>
      </c>
    </row>
    <row r="20">
      <c r="A20" s="5" t="inlineStr">
        <is>
          <t xml:space="preserve">   Documentation &amp; User Guides</t>
        </is>
      </c>
      <c r="B20" s="6" t="n">
        <v>40000</v>
      </c>
      <c r="C20" s="5" t="inlineStr">
        <is>
          <t>Thai-language manuals</t>
        </is>
      </c>
    </row>
    <row r="21">
      <c r="A21" s="11" t="inlineStr">
        <is>
          <t xml:space="preserve">   Subtotal Training</t>
        </is>
      </c>
      <c r="B21" s="12">
        <f>SUM(B18:B20)</f>
        <v/>
      </c>
      <c r="C21" s="11" t="n"/>
    </row>
    <row r="23" ht="16" customHeight="1" s="25">
      <c r="A23" s="13" t="inlineStr">
        <is>
          <t>TOTAL CAPEX</t>
        </is>
      </c>
      <c r="B23" s="14">
        <f>B11+B16+B21</f>
        <v/>
      </c>
      <c r="C23" s="15" t="n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1:H15"/>
  <sheetViews>
    <sheetView zoomScale="160" workbookViewId="0">
      <selection activeCell="A16" sqref="A16"/>
    </sheetView>
  </sheetViews>
  <sheetFormatPr baseColWidth="10" defaultColWidth="8.83203125" defaultRowHeight="15"/>
  <cols>
    <col width="38" customWidth="1" style="25" min="1" max="1"/>
    <col width="16" customWidth="1" style="25" min="2" max="8"/>
  </cols>
  <sheetData>
    <row r="1" ht="28" customHeight="1" s="25">
      <c r="A1" s="30" t="inlineStr">
        <is>
          <t>OPEX</t>
        </is>
      </c>
    </row>
    <row r="2" ht="18" customHeight="1" s="25">
      <c r="A2" s="31" t="inlineStr">
        <is>
          <t>แบ่งตาม 3 Phases (Monthly + Annual)</t>
        </is>
      </c>
    </row>
    <row r="4" ht="32" customHeight="1" s="25">
      <c r="A4" s="10" t="inlineStr">
        <is>
          <t>รายการ</t>
        </is>
      </c>
      <c r="B4" s="10" t="inlineStr">
        <is>
          <t>Phase 1
/เดือน</t>
        </is>
      </c>
      <c r="C4" s="10" t="inlineStr">
        <is>
          <t>Phase 1
/ปี</t>
        </is>
      </c>
      <c r="D4" s="10" t="inlineStr">
        <is>
          <t>Phase 2
/เดือน</t>
        </is>
      </c>
      <c r="E4" s="10" t="inlineStr">
        <is>
          <t>Phase 2
/ปี</t>
        </is>
      </c>
      <c r="F4" s="10" t="inlineStr">
        <is>
          <t>Phase 3
/เดือน</t>
        </is>
      </c>
      <c r="G4" s="10" t="inlineStr">
        <is>
          <t>Phase 3
/ปี</t>
        </is>
      </c>
      <c r="H4" s="10" t="inlineStr">
        <is>
          <t>หมายเหตุ</t>
        </is>
      </c>
    </row>
    <row r="5">
      <c r="A5" s="5" t="inlineStr">
        <is>
          <t>Cloud Hosting (Vercel/AWS)</t>
        </is>
      </c>
      <c r="B5" s="6" t="n">
        <v>5000</v>
      </c>
      <c r="C5" s="16">
        <f>B5*12</f>
        <v/>
      </c>
      <c r="D5" s="6" t="n">
        <v>15000</v>
      </c>
      <c r="E5" s="16">
        <f>D5*12</f>
        <v/>
      </c>
      <c r="F5" s="6" t="n">
        <v>40000</v>
      </c>
      <c r="G5" s="16">
        <f>F5*12</f>
        <v/>
      </c>
      <c r="H5" s="5" t="inlineStr">
        <is>
          <t>Scale with traffic</t>
        </is>
      </c>
    </row>
    <row r="6">
      <c r="A6" s="3" t="inlineStr">
        <is>
          <t>AI API Costs (Groq LLM)</t>
        </is>
      </c>
      <c r="B6" s="4" t="n">
        <v>2000</v>
      </c>
      <c r="C6" s="4">
        <f>B6*12</f>
        <v/>
      </c>
      <c r="D6" s="4" t="n">
        <v>8000</v>
      </c>
      <c r="E6" s="4">
        <f>D6*12</f>
        <v/>
      </c>
      <c r="F6" s="4" t="n">
        <v>25000</v>
      </c>
      <c r="G6" s="4">
        <f>F6*12</f>
        <v/>
      </c>
      <c r="H6" s="3" t="inlineStr">
        <is>
          <t>~4 THB/care plan</t>
        </is>
      </c>
    </row>
    <row r="7">
      <c r="A7" s="5" t="inlineStr">
        <is>
          <t>Line OA Messaging</t>
        </is>
      </c>
      <c r="B7" s="6" t="n">
        <v>1500</v>
      </c>
      <c r="C7" s="16">
        <f>B7*12</f>
        <v/>
      </c>
      <c r="D7" s="6" t="n">
        <v>5000</v>
      </c>
      <c r="E7" s="16">
        <f>D7*12</f>
        <v/>
      </c>
      <c r="F7" s="6" t="n">
        <v>15000</v>
      </c>
      <c r="G7" s="16">
        <f>F7*12</f>
        <v/>
      </c>
      <c r="H7" s="5" t="inlineStr">
        <is>
          <t>0.20 THB/msg</t>
        </is>
      </c>
    </row>
    <row r="8">
      <c r="A8" s="3" t="inlineStr">
        <is>
          <t>Maintenance &amp; Support</t>
        </is>
      </c>
      <c r="B8" s="4" t="n">
        <v>20000</v>
      </c>
      <c r="C8" s="4">
        <f>B8*12</f>
        <v/>
      </c>
      <c r="D8" s="4" t="n">
        <v>50000</v>
      </c>
      <c r="E8" s="4">
        <f>D8*12</f>
        <v/>
      </c>
      <c r="F8" s="4" t="n">
        <v>120000</v>
      </c>
      <c r="G8" s="4">
        <f>F8*12</f>
        <v/>
      </c>
      <c r="H8" s="3" t="inlineStr">
        <is>
          <t>Dev team</t>
        </is>
      </c>
    </row>
    <row r="9">
      <c r="A9" s="5" t="inlineStr">
        <is>
          <t>อสม. Incentive (top-up)</t>
        </is>
      </c>
      <c r="B9" s="6" t="n">
        <v>0</v>
      </c>
      <c r="C9" s="16">
        <f>B9*12</f>
        <v/>
      </c>
      <c r="D9" s="6" t="n">
        <v>10000</v>
      </c>
      <c r="E9" s="16">
        <f>D9*12</f>
        <v/>
      </c>
      <c r="F9" s="6" t="n">
        <v>75000</v>
      </c>
      <c r="G9" s="16">
        <f>F9*12</f>
        <v/>
      </c>
      <c r="H9" s="5" t="inlineStr">
        <is>
          <t>1,000 THB/อสม./mo</t>
        </is>
      </c>
    </row>
    <row r="10">
      <c r="A10" s="3" t="inlineStr">
        <is>
          <t>Data Storage &amp; Backup</t>
        </is>
      </c>
      <c r="B10" s="4" t="n">
        <v>1000</v>
      </c>
      <c r="C10" s="4">
        <f>B10*12</f>
        <v/>
      </c>
      <c r="D10" s="4" t="n">
        <v>3000</v>
      </c>
      <c r="E10" s="4">
        <f>D10*12</f>
        <v/>
      </c>
      <c r="F10" s="4" t="n">
        <v>8000</v>
      </c>
      <c r="G10" s="4">
        <f>F10*12</f>
        <v/>
      </c>
      <c r="H10" s="3" t="inlineStr">
        <is>
          <t>PostgreSQL + S3</t>
        </is>
      </c>
    </row>
    <row r="11">
      <c r="A11" s="5" t="inlineStr">
        <is>
          <t>Security Monitoring</t>
        </is>
      </c>
      <c r="B11" s="6" t="n">
        <v>2000</v>
      </c>
      <c r="C11" s="16">
        <f>B11*12</f>
        <v/>
      </c>
      <c r="D11" s="6" t="n">
        <v>5000</v>
      </c>
      <c r="E11" s="16">
        <f>D11*12</f>
        <v/>
      </c>
      <c r="F11" s="6" t="n">
        <v>10000</v>
      </c>
      <c r="G11" s="16">
        <f>F11*12</f>
        <v/>
      </c>
      <c r="H11" s="5" t="inlineStr">
        <is>
          <t>PDPA compliance</t>
        </is>
      </c>
    </row>
    <row r="12">
      <c r="A12" s="3" t="inlineStr">
        <is>
          <t>Miscellaneous / Contingency</t>
        </is>
      </c>
      <c r="B12" s="4" t="n">
        <v>3000</v>
      </c>
      <c r="C12" s="4">
        <f>B12*12</f>
        <v/>
      </c>
      <c r="D12" s="4" t="n">
        <v>8000</v>
      </c>
      <c r="E12" s="4">
        <f>D12*12</f>
        <v/>
      </c>
      <c r="F12" s="4" t="n">
        <v>20000</v>
      </c>
      <c r="G12" s="4">
        <f>F12*12</f>
        <v/>
      </c>
      <c r="H12" s="3" t="inlineStr">
        <is>
          <t>10% buffer</t>
        </is>
      </c>
    </row>
    <row r="13">
      <c r="A13" s="17" t="inlineStr">
        <is>
          <t>TOTAL OPEX</t>
        </is>
      </c>
      <c r="B13" s="18">
        <f>SUM(B5:B12)</f>
        <v/>
      </c>
      <c r="C13" s="18">
        <f>SUM(C5:C12)</f>
        <v/>
      </c>
      <c r="D13" s="18">
        <f>SUM(D5:D12)</f>
        <v/>
      </c>
      <c r="E13" s="18">
        <f>SUM(E5:E12)</f>
        <v/>
      </c>
      <c r="F13" s="18">
        <f>SUM(F5:F12)</f>
        <v/>
      </c>
      <c r="G13" s="18">
        <f>SUM(G5:G12)</f>
        <v/>
      </c>
      <c r="H13" s="19" t="n"/>
    </row>
    <row r="15">
      <c r="A15" s="20" t="inlineStr">
        <is>
          <t>TOTAL COST (CAPEX + OPEX)</t>
        </is>
      </c>
      <c r="C15" s="21">
        <f>CAPEX!B23+C13</f>
        <v/>
      </c>
      <c r="E15" s="21">
        <f>CAPEX!B23+E13</f>
        <v/>
      </c>
      <c r="G15" s="21">
        <f>CAPEX!B23+G13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C2626"/>
    <outlinePr summaryBelow="1" summaryRight="1"/>
    <pageSetUpPr/>
  </sheetPr>
  <dimension ref="A1:E14"/>
  <sheetViews>
    <sheetView zoomScale="138" workbookViewId="0">
      <selection activeCell="C17" sqref="C17"/>
    </sheetView>
  </sheetViews>
  <sheetFormatPr baseColWidth="10" defaultColWidth="8.83203125" defaultRowHeight="15"/>
  <cols>
    <col width="42" customWidth="1" style="25" min="1" max="1"/>
    <col width="22" customWidth="1" style="25" min="2" max="4"/>
    <col width="28" customWidth="1" style="25" min="5" max="5"/>
  </cols>
  <sheetData>
    <row r="1" ht="28" customHeight="1" s="25">
      <c r="A1" s="30" t="inlineStr">
        <is>
          <t>Cost per Patient</t>
        </is>
      </c>
    </row>
    <row r="2" ht="18" customHeight="1" s="25">
      <c r="A2" s="26" t="inlineStr">
        <is>
          <t>ผลกระทบต่อค่าใช้จ่ายต่อผู้ป่วย 1 รายเมื่อใช้ระบบ LaPooPoo</t>
        </is>
      </c>
    </row>
    <row r="4">
      <c r="A4" s="10" t="inlineStr">
        <is>
          <t>รายการ</t>
        </is>
      </c>
      <c r="B4" s="10" t="inlineStr">
        <is>
          <t>As-Is (ปัจจุบัน)</t>
        </is>
      </c>
      <c r="C4" s="10" t="inlineStr">
        <is>
          <t>To-Be (LaPooPoo)</t>
        </is>
      </c>
      <c r="D4" s="10" t="inlineStr">
        <is>
          <t>Savings</t>
        </is>
      </c>
      <c r="E4" s="10" t="inlineStr">
        <is>
          <t>หมายเหตุ</t>
        </is>
      </c>
    </row>
    <row r="5">
      <c r="A5" s="5" t="inlineStr">
        <is>
          <t>เวลาเข้าถึงสิทธิ์ผ้าอ้อม (วัน)</t>
        </is>
      </c>
      <c r="B5" s="16" t="n">
        <v>45</v>
      </c>
      <c r="C5" s="16" t="n">
        <v>14</v>
      </c>
      <c r="D5" s="16">
        <f>B5-C5</f>
        <v/>
      </c>
      <c r="E5" s="5" t="inlineStr">
        <is>
          <t>Pitch Deck target</t>
        </is>
      </c>
    </row>
    <row r="6">
      <c r="A6" s="3" t="inlineStr">
        <is>
          <t>จำนวน Care Plan / CM / ปี</t>
        </is>
      </c>
      <c r="B6" s="4" t="n">
        <v>50</v>
      </c>
      <c r="C6" s="4" t="n">
        <v>150</v>
      </c>
      <c r="D6" s="4">
        <f>C6-B6</f>
        <v/>
      </c>
      <c r="E6" s="3" t="inlineStr">
        <is>
          <t>AI-assisted 3x capacity</t>
        </is>
      </c>
    </row>
    <row r="7">
      <c r="A7" s="5" t="inlineStr">
        <is>
          <t>เวลาประเมิน ADL (นาที/ราย)</t>
        </is>
      </c>
      <c r="B7" s="16" t="n">
        <v>45</v>
      </c>
      <c r="C7" s="16" t="n">
        <v>10</v>
      </c>
      <c r="D7" s="16">
        <f>B7-C7</f>
        <v/>
      </c>
      <c r="E7" s="5" t="inlineStr">
        <is>
          <t>Line Agent auto-assess</t>
        </is>
      </c>
    </row>
    <row r="8">
      <c r="A8" s="3" t="inlineStr">
        <is>
          <t>ค่าดำเนินการ Care Plan / ราย (THB)</t>
        </is>
      </c>
      <c r="B8" s="4" t="n">
        <v>2500</v>
      </c>
      <c r="C8" s="4" t="n">
        <v>800</v>
      </c>
      <c r="D8" s="4">
        <f>B8-C8</f>
        <v/>
      </c>
      <c r="E8" s="3" t="inlineStr">
        <is>
          <t>ลดเอกสาร 80%</t>
        </is>
      </c>
    </row>
    <row r="9">
      <c r="A9" s="5" t="inlineStr">
        <is>
          <t>ค่าผ้าอ้อม/คน/ปี ภาระครอบครัว (THB)</t>
        </is>
      </c>
      <c r="B9" s="16" t="n">
        <v>15840</v>
      </c>
      <c r="C9" s="16" t="n">
        <v>5700</v>
      </c>
      <c r="D9" s="16">
        <f>B9-C9</f>
        <v/>
      </c>
      <c r="E9" s="5" t="inlineStr">
        <is>
          <t>ซื้อเองลดลงเมื่อเข้าถึงสิทธิ์</t>
        </is>
      </c>
    </row>
    <row r="10">
      <c r="A10" s="3" t="inlineStr">
        <is>
          <t>ค่า Readmission ที่ป้องกันได้/ราย/ปี</t>
        </is>
      </c>
      <c r="B10" s="4" t="n">
        <v>15000</v>
      </c>
      <c r="C10" s="4" t="n">
        <v>3000</v>
      </c>
      <c r="D10" s="4">
        <f>B10-C10</f>
        <v/>
      </c>
      <c r="E10" s="3" t="inlineStr">
        <is>
          <t>20% prevention rate × 75K</t>
        </is>
      </c>
    </row>
    <row r="11">
      <c r="A11" s="5" t="inlineStr">
        <is>
          <t>ค่ารักษา Pressure Wound/ราย/ปี</t>
        </is>
      </c>
      <c r="B11" s="16" t="n">
        <v>6750</v>
      </c>
      <c r="C11" s="16" t="n">
        <v>2025</v>
      </c>
      <c r="D11" s="16">
        <f>B11-C11</f>
        <v/>
      </c>
      <c r="E11" s="5" t="inlineStr">
        <is>
          <t>ลด 70% ด้วย early diaper access</t>
        </is>
      </c>
    </row>
    <row r="12">
      <c r="A12" s="3" t="inlineStr">
        <is>
          <t>Platform cost / ผู้ป่วย / ปี (at scale)</t>
        </is>
      </c>
      <c r="B12" s="4" t="n">
        <v>0</v>
      </c>
      <c r="C12" s="4" t="n">
        <v>250</v>
      </c>
      <c r="D12" s="4">
        <f>B12-C12</f>
        <v/>
      </c>
      <c r="E12" s="33" t="inlineStr">
        <is>
          <t>OPEX / จำนวนผู้ป่วย</t>
        </is>
      </c>
    </row>
    <row r="13">
      <c r="A13" s="5" t="inlineStr">
        <is>
          <t>ต้นทุนรวม/ผู้ป่วย/ปี (ระบบ+ครอบครัว)</t>
        </is>
      </c>
      <c r="B13" s="16" t="n">
        <v>40090</v>
      </c>
      <c r="C13" s="16" t="n">
        <v>11775</v>
      </c>
      <c r="D13" s="16">
        <f>B13-C13</f>
        <v/>
      </c>
      <c r="E13" s="5" t="inlineStr">
        <is>
          <t>Sum above</t>
        </is>
      </c>
    </row>
    <row r="14" ht="16" customHeight="1" s="25">
      <c r="A14" s="34" t="inlineStr">
        <is>
          <t>TOTAL SAVINGS / ผู้ป่วย / ปี</t>
        </is>
      </c>
      <c r="B14" s="19" t="n"/>
      <c r="C14" s="19" t="n"/>
      <c r="D14" s="22">
        <f>SUM(D5:D13)</f>
        <v/>
      </c>
      <c r="E14" s="19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87C"/>
    <outlinePr summaryBelow="1" summaryRight="1"/>
    <pageSetUpPr/>
  </sheetPr>
  <dimension ref="A1:N16"/>
  <sheetViews>
    <sheetView zoomScale="75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C17" sqref="C17"/>
    </sheetView>
  </sheetViews>
  <sheetFormatPr baseColWidth="10" defaultColWidth="8.83203125" defaultRowHeight="15"/>
  <cols>
    <col width="38" customWidth="1" style="25" min="1" max="1"/>
    <col width="14" customWidth="1" style="25" min="2" max="14"/>
  </cols>
  <sheetData>
    <row r="1" ht="28" customHeight="1" s="25">
      <c r="A1" s="30" t="inlineStr">
        <is>
          <t>KPI Forecast — 3-Year Quarterly Projection</t>
        </is>
      </c>
    </row>
    <row r="2" ht="18" customHeight="1" s="25">
      <c r="A2" s="31" t="inlineStr">
        <is>
          <t>Phase 1 (Y1), Phase 2 (Y2), Phase 3 (Y3)</t>
        </is>
      </c>
    </row>
    <row r="4">
      <c r="A4" s="10" t="inlineStr">
        <is>
          <t>KPI</t>
        </is>
      </c>
      <c r="B4" s="10" t="inlineStr">
        <is>
          <t>Unit</t>
        </is>
      </c>
      <c r="C4" s="10" t="inlineStr">
        <is>
          <t>Y1Q1</t>
        </is>
      </c>
      <c r="D4" s="10" t="inlineStr">
        <is>
          <t>Y1Q2</t>
        </is>
      </c>
      <c r="E4" s="10" t="inlineStr">
        <is>
          <t>Y1Q3</t>
        </is>
      </c>
      <c r="F4" s="10" t="inlineStr">
        <is>
          <t>Y1Q4</t>
        </is>
      </c>
      <c r="G4" s="10" t="inlineStr">
        <is>
          <t>Y2Q1</t>
        </is>
      </c>
      <c r="H4" s="10" t="inlineStr">
        <is>
          <t>Y2Q2</t>
        </is>
      </c>
      <c r="I4" s="10" t="inlineStr">
        <is>
          <t>Y2Q3</t>
        </is>
      </c>
      <c r="J4" s="10" t="inlineStr">
        <is>
          <t>Y2Q4</t>
        </is>
      </c>
      <c r="K4" s="10" t="inlineStr">
        <is>
          <t>Y3Q1</t>
        </is>
      </c>
      <c r="L4" s="10" t="inlineStr">
        <is>
          <t>Y3Q2</t>
        </is>
      </c>
      <c r="M4" s="10" t="inlineStr">
        <is>
          <t>Y3Q3</t>
        </is>
      </c>
      <c r="N4" s="10" t="inlineStr">
        <is>
          <t>Y3Q4</t>
        </is>
      </c>
    </row>
    <row r="5">
      <c r="C5" s="27" t="inlineStr">
        <is>
          <t>Phase 1 (พ.ค. 2569 - ก.พ. 2570)</t>
        </is>
      </c>
      <c r="G5" s="28" t="inlineStr">
        <is>
          <t>Phase 2 (ก.พ. 2570 - ก.พ. 2571)</t>
        </is>
      </c>
      <c r="K5" s="29" t="inlineStr">
        <is>
          <t>Phase 3 (ก.พ. 2571 - ก.พ. 2572)</t>
        </is>
      </c>
    </row>
    <row r="6">
      <c r="A6" s="3" t="inlineStr">
        <is>
          <t>รพ. เชื่อมต่อ HOSxP (สะสม)</t>
        </is>
      </c>
      <c r="B6" s="3" t="inlineStr">
        <is>
          <t>แห่ง</t>
        </is>
      </c>
      <c r="C6" s="4" t="n">
        <v>2</v>
      </c>
      <c r="D6" s="4" t="n">
        <v>3</v>
      </c>
      <c r="E6" s="4" t="n">
        <v>3</v>
      </c>
      <c r="F6" s="4" t="n">
        <v>3</v>
      </c>
      <c r="G6" s="4" t="n">
        <v>5</v>
      </c>
      <c r="H6" s="4" t="n">
        <v>8</v>
      </c>
      <c r="I6" s="4" t="n">
        <v>12</v>
      </c>
      <c r="J6" s="4" t="n">
        <v>18</v>
      </c>
      <c r="K6" s="4" t="n">
        <v>25</v>
      </c>
      <c r="L6" s="4" t="n">
        <v>40</v>
      </c>
      <c r="M6" s="4" t="n">
        <v>60</v>
      </c>
      <c r="N6" s="4" t="n">
        <v>80</v>
      </c>
    </row>
    <row r="7">
      <c r="A7" s="5" t="inlineStr">
        <is>
          <t>ผู้ป่วยค้นพบใหม่ (ต่อไตรมาส)</t>
        </is>
      </c>
      <c r="B7" s="5" t="inlineStr">
        <is>
          <t>คน</t>
        </is>
      </c>
      <c r="C7" s="16" t="n">
        <v>50</v>
      </c>
      <c r="D7" s="16" t="n">
        <v>150</v>
      </c>
      <c r="E7" s="16" t="n">
        <v>400</v>
      </c>
      <c r="F7" s="16" t="n">
        <v>800</v>
      </c>
      <c r="G7" s="16" t="n">
        <v>1500</v>
      </c>
      <c r="H7" s="16" t="n">
        <v>2500</v>
      </c>
      <c r="I7" s="16" t="n">
        <v>4000</v>
      </c>
      <c r="J7" s="16" t="n">
        <v>6000</v>
      </c>
      <c r="K7" s="16" t="n">
        <v>8000</v>
      </c>
      <c r="L7" s="16" t="n">
        <v>10000</v>
      </c>
      <c r="M7" s="16" t="n">
        <v>12000</v>
      </c>
      <c r="N7" s="16" t="n">
        <v>15000</v>
      </c>
    </row>
    <row r="8">
      <c r="A8" s="3" t="inlineStr">
        <is>
          <t>ผู้ป่วยค้นพบสะสม</t>
        </is>
      </c>
      <c r="B8" s="3" t="inlineStr">
        <is>
          <t>คน</t>
        </is>
      </c>
      <c r="C8" s="4" t="n">
        <v>50</v>
      </c>
      <c r="D8" s="4" t="n">
        <v>200</v>
      </c>
      <c r="E8" s="4" t="n">
        <v>600</v>
      </c>
      <c r="F8" s="4" t="n">
        <v>1400</v>
      </c>
      <c r="G8" s="4" t="n">
        <v>2900</v>
      </c>
      <c r="H8" s="4" t="n">
        <v>5400</v>
      </c>
      <c r="I8" s="4" t="n">
        <v>9400</v>
      </c>
      <c r="J8" s="4" t="n">
        <v>15400</v>
      </c>
      <c r="K8" s="4" t="n">
        <v>23400</v>
      </c>
      <c r="L8" s="4" t="n">
        <v>33400</v>
      </c>
      <c r="M8" s="4" t="n">
        <v>45400</v>
      </c>
      <c r="N8" s="4" t="n">
        <v>60400</v>
      </c>
    </row>
    <row r="9">
      <c r="A9" s="5" t="inlineStr">
        <is>
          <t>Care Plan อนุมัติ (สะสม)</t>
        </is>
      </c>
      <c r="B9" s="5" t="inlineStr">
        <is>
          <t>ฉบับ</t>
        </is>
      </c>
      <c r="C9" s="16" t="n">
        <v>30</v>
      </c>
      <c r="D9" s="16" t="n">
        <v>150</v>
      </c>
      <c r="E9" s="16" t="n">
        <v>450</v>
      </c>
      <c r="F9" s="16" t="n">
        <v>1100</v>
      </c>
      <c r="G9" s="16" t="n">
        <v>2300</v>
      </c>
      <c r="H9" s="16" t="n">
        <v>4500</v>
      </c>
      <c r="I9" s="16" t="n">
        <v>8000</v>
      </c>
      <c r="J9" s="16" t="n">
        <v>13500</v>
      </c>
      <c r="K9" s="16" t="n">
        <v>21000</v>
      </c>
      <c r="L9" s="16" t="n">
        <v>30500</v>
      </c>
      <c r="M9" s="16" t="n">
        <v>42000</v>
      </c>
      <c r="N9" s="16" t="n">
        <v>56000</v>
      </c>
    </row>
    <row r="10">
      <c r="A10" s="3" t="inlineStr">
        <is>
          <t>เวลาเฉลี่ยเข้าถึงสิทธิ์</t>
        </is>
      </c>
      <c r="B10" s="3" t="inlineStr">
        <is>
          <t>วัน</t>
        </is>
      </c>
      <c r="C10" s="4" t="n">
        <v>45</v>
      </c>
      <c r="D10" s="4" t="n">
        <v>38</v>
      </c>
      <c r="E10" s="4" t="n">
        <v>30</v>
      </c>
      <c r="F10" s="4" t="n">
        <v>25</v>
      </c>
      <c r="G10" s="4" t="n">
        <v>20</v>
      </c>
      <c r="H10" s="4" t="n">
        <v>18</v>
      </c>
      <c r="I10" s="4" t="n">
        <v>16</v>
      </c>
      <c r="J10" s="4" t="n">
        <v>15</v>
      </c>
      <c r="K10" s="4" t="n">
        <v>14</v>
      </c>
      <c r="L10" s="4" t="n">
        <v>14</v>
      </c>
      <c r="M10" s="4" t="n">
        <v>14</v>
      </c>
      <c r="N10" s="4" t="n">
        <v>14</v>
      </c>
    </row>
    <row r="11">
      <c r="A11" s="5" t="inlineStr">
        <is>
          <t>CM capacity (cases/CM/yr)</t>
        </is>
      </c>
      <c r="B11" s="5" t="inlineStr">
        <is>
          <t>ราย</t>
        </is>
      </c>
      <c r="C11" s="16" t="n">
        <v>50</v>
      </c>
      <c r="D11" s="16" t="n">
        <v>65</v>
      </c>
      <c r="E11" s="16" t="n">
        <v>80</v>
      </c>
      <c r="F11" s="16" t="n">
        <v>100</v>
      </c>
      <c r="G11" s="16" t="n">
        <v>120</v>
      </c>
      <c r="H11" s="16" t="n">
        <v>130</v>
      </c>
      <c r="I11" s="16" t="n">
        <v>140</v>
      </c>
      <c r="J11" s="16" t="n">
        <v>145</v>
      </c>
      <c r="K11" s="16" t="n">
        <v>150</v>
      </c>
      <c r="L11" s="16" t="n">
        <v>150</v>
      </c>
      <c r="M11" s="16" t="n">
        <v>150</v>
      </c>
      <c r="N11" s="16" t="n">
        <v>150</v>
      </c>
    </row>
    <row r="12">
      <c r="A12" s="3" t="inlineStr">
        <is>
          <t>อสม. ใช้ Line Agent</t>
        </is>
      </c>
      <c r="B12" s="3" t="inlineStr">
        <is>
          <t>คน</t>
        </is>
      </c>
      <c r="C12" s="4" t="n">
        <v>10</v>
      </c>
      <c r="D12" s="4" t="n">
        <v>30</v>
      </c>
      <c r="E12" s="4" t="n">
        <v>80</v>
      </c>
      <c r="F12" s="4" t="n">
        <v>150</v>
      </c>
      <c r="G12" s="4" t="n">
        <v>300</v>
      </c>
      <c r="H12" s="4" t="n">
        <v>500</v>
      </c>
      <c r="I12" s="4" t="n">
        <v>800</v>
      </c>
      <c r="J12" s="4" t="n">
        <v>1200</v>
      </c>
      <c r="K12" s="4" t="n">
        <v>1800</v>
      </c>
      <c r="L12" s="4" t="n">
        <v>2500</v>
      </c>
      <c r="M12" s="4" t="n">
        <v>3500</v>
      </c>
      <c r="N12" s="4" t="n">
        <v>5000</v>
      </c>
    </row>
    <row r="13">
      <c r="A13" s="5" t="inlineStr">
        <is>
          <t>Coverage Rate Increase</t>
        </is>
      </c>
      <c r="B13" s="5" t="inlineStr">
        <is>
          <t>%</t>
        </is>
      </c>
      <c r="C13" s="23" t="n">
        <v>0.001</v>
      </c>
      <c r="D13" s="23" t="n">
        <v>0.003</v>
      </c>
      <c r="E13" s="23" t="n">
        <v>0.008</v>
      </c>
      <c r="F13" s="23" t="n">
        <v>0.02</v>
      </c>
      <c r="G13" s="23" t="n">
        <v>0.04</v>
      </c>
      <c r="H13" s="23" t="n">
        <v>0.07000000000000001</v>
      </c>
      <c r="I13" s="23" t="n">
        <v>0.12</v>
      </c>
      <c r="J13" s="23" t="n">
        <v>0.2</v>
      </c>
      <c r="K13" s="23" t="n">
        <v>0.3</v>
      </c>
      <c r="L13" s="23" t="n">
        <v>0.42</v>
      </c>
      <c r="M13" s="23" t="n">
        <v>0.58</v>
      </c>
      <c r="N13" s="23" t="n">
        <v>0.78</v>
      </c>
    </row>
    <row r="14">
      <c r="A14" s="3" t="inlineStr">
        <is>
          <t>OPEX / ไตรมาส</t>
        </is>
      </c>
      <c r="B14" s="3" t="inlineStr">
        <is>
          <t>THB</t>
        </is>
      </c>
      <c r="C14" s="4" t="n">
        <v>103500</v>
      </c>
      <c r="D14" s="4" t="n">
        <v>103500</v>
      </c>
      <c r="E14" s="4" t="n">
        <v>103500</v>
      </c>
      <c r="F14" s="4" t="n">
        <v>103500</v>
      </c>
      <c r="G14" s="4" t="n">
        <v>312000</v>
      </c>
      <c r="H14" s="4" t="n">
        <v>312000</v>
      </c>
      <c r="I14" s="4" t="n">
        <v>312000</v>
      </c>
      <c r="J14" s="4" t="n">
        <v>312000</v>
      </c>
      <c r="K14" s="4" t="n">
        <v>939000</v>
      </c>
      <c r="L14" s="4" t="n">
        <v>939000</v>
      </c>
      <c r="M14" s="4" t="n">
        <v>939000</v>
      </c>
      <c r="N14" s="4" t="n">
        <v>939000</v>
      </c>
    </row>
    <row r="15">
      <c r="A15" s="5" t="inlineStr">
        <is>
          <t>Cost Savings / ไตรมาส</t>
        </is>
      </c>
      <c r="B15" s="5" t="inlineStr">
        <is>
          <t>THB</t>
        </is>
      </c>
      <c r="C15" s="16" t="n">
        <v>0</v>
      </c>
      <c r="D15" s="16" t="n">
        <v>750000</v>
      </c>
      <c r="E15" s="16" t="n">
        <v>3000000</v>
      </c>
      <c r="F15" s="16" t="n">
        <v>8000000</v>
      </c>
      <c r="G15" s="16" t="n">
        <v>18750000</v>
      </c>
      <c r="H15" s="16" t="n">
        <v>37500000</v>
      </c>
      <c r="I15" s="16" t="n">
        <v>62500000</v>
      </c>
      <c r="J15" s="16" t="n">
        <v>95000000</v>
      </c>
      <c r="K15" s="16" t="n">
        <v>130000000</v>
      </c>
      <c r="L15" s="16" t="n">
        <v>170000000</v>
      </c>
      <c r="M15" s="16" t="n">
        <v>210000000</v>
      </c>
      <c r="N15" s="16" t="n">
        <v>260000000</v>
      </c>
    </row>
    <row r="16">
      <c r="A16" s="3" t="inlineStr">
        <is>
          <t>ROI สะสม (Savings - Cost)</t>
        </is>
      </c>
      <c r="B16" s="3" t="inlineStr">
        <is>
          <t>THB</t>
        </is>
      </c>
      <c r="C16" s="4">
        <f>(C15)-(C14)-CAPEX!B23</f>
        <v/>
      </c>
      <c r="D16" s="4">
        <f>(C15+D15)-(C14+D14)-CAPEX!B23</f>
        <v/>
      </c>
      <c r="E16" s="4">
        <f>(C15+D15+E15)-(C14+D14+E14)-CAPEX!B23</f>
        <v/>
      </c>
      <c r="F16" s="4">
        <f>(C15+D15+E15+F15)-(C14+D14+E14+F14)-CAPEX!B23</f>
        <v/>
      </c>
      <c r="G16" s="4">
        <f>(C15+D15+E15+F15+G15)-(C14+D14+E14+F14+G14)-CAPEX!B23</f>
        <v/>
      </c>
      <c r="H16" s="4">
        <f>(C15+D15+E15+F15+G15+H15)-(C14+D14+E14+F14+G14+H14)-CAPEX!B23</f>
        <v/>
      </c>
      <c r="I16" s="4">
        <f>(C15+D15+E15+F15+G15+H15+I15)-(C14+D14+E14+F14+G14+H14+I14)-CAPEX!B23</f>
        <v/>
      </c>
      <c r="J16" s="4">
        <f>(C15+D15+E15+F15+G15+H15+I15+J15)-(C14+D14+E14+F14+G14+H14+I14+J14)-CAPEX!B23</f>
        <v/>
      </c>
      <c r="K16" s="4">
        <f>(C15+D15+E15+F15+G15+H15+I15+J15+K15)-(C14+D14+E14+F14+G14+H14+I14+J14+K14)-CAPEX!B23</f>
        <v/>
      </c>
      <c r="L16" s="4">
        <f>(C15+D15+E15+F15+G15+H15+I15+J15+K15+L15)-(C14+D14+E14+F14+G14+H14+I14+J14+K14+L14)-CAPEX!B23</f>
        <v/>
      </c>
      <c r="M16" s="4">
        <f>(C15+D15+E15+F15+G15+H15+I15+J15+K15+L15+M15)-(C14+D14+E14+F14+G14+H14+I14+J14+K14+L14+M14)-CAPEX!B23</f>
        <v/>
      </c>
      <c r="N16" s="4">
        <f>(C15+D15+E15+F15+G15+H15+I15+J15+K15+L15+M15+N15)-(C14+D14+E14+F14+G14+H14+I14+J14+K14+L14+M14+N14)-CAPEX!B23</f>
        <v/>
      </c>
    </row>
  </sheetData>
  <mergeCells count="5">
    <mergeCell ref="A2:N2"/>
    <mergeCell ref="C5:F5"/>
    <mergeCell ref="G5:J5"/>
    <mergeCell ref="K5:N5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59669"/>
    <outlinePr summaryBelow="1" summaryRight="1"/>
    <pageSetUpPr/>
  </sheetPr>
  <dimension ref="A1:D33"/>
  <sheetViews>
    <sheetView zoomScale="150" workbookViewId="0">
      <selection activeCell="D21" sqref="D21"/>
    </sheetView>
  </sheetViews>
  <sheetFormatPr baseColWidth="10" defaultColWidth="8.83203125" defaultRowHeight="15"/>
  <cols>
    <col width="44" customWidth="1" style="25" min="1" max="1"/>
    <col width="24" customWidth="1" style="25" min="2" max="3"/>
    <col width="24" customWidth="1" style="25" min="3" max="3"/>
    <col width="38" customWidth="1" style="25" min="4" max="4"/>
  </cols>
  <sheetData>
    <row r="1" ht="28" customHeight="1" s="25">
      <c r="A1" s="37" t="inlineStr">
        <is>
          <t>Social Impact Summary — ผลลัพธ์ 3 ปี</t>
        </is>
      </c>
    </row>
    <row r="2" ht="18" customHeight="1" s="25">
      <c r="A2" s="38" t="inlineStr">
        <is>
          <t>LaPooPoo Platform: เปลี่ยนสิทธิ์บนกระดาษให้เป็นสิทธิ์ที่เข้าถึงได้จริง</t>
        </is>
      </c>
    </row>
    <row r="3">
      <c r="A3" s="39" t="n"/>
      <c r="B3" s="39" t="n"/>
      <c r="C3" s="39" t="n"/>
      <c r="D3" s="39" t="n"/>
    </row>
    <row r="4" ht="30" customHeight="1" s="25">
      <c r="A4" s="40" t="inlineStr">
        <is>
          <t>1. คนเข้าถึงสิทธิ์ — Rights Access</t>
        </is>
      </c>
      <c r="B4" s="40" t="n"/>
      <c r="C4" s="40" t="n"/>
      <c r="D4" s="40" t="n"/>
    </row>
    <row r="5">
      <c r="A5" s="41" t="inlineStr">
        <is>
          <t>ตัวชี้วัด</t>
        </is>
      </c>
      <c r="B5" s="41" t="inlineStr">
        <is>
          <t>ก่อนใช้ระบบ</t>
        </is>
      </c>
      <c r="C5" s="41" t="inlineStr">
        <is>
          <t>หลังใช้ระบบ (3 ปี)</t>
        </is>
      </c>
      <c r="D5" s="41" t="inlineStr">
        <is>
          <t>ความหมาย</t>
        </is>
      </c>
    </row>
    <row r="6" ht="28" customHeight="1" s="25">
      <c r="A6" s="42" t="inlineStr">
        <is>
          <t>ผู้ป่วยค้นพบและเข้าถึงสิทธิ์ใหม่</t>
        </is>
      </c>
      <c r="B6" s="42" t="inlineStr">
        <is>
          <t>0 (รอ อสม. สำรวจ)</t>
        </is>
      </c>
      <c r="C6" s="43" t="inlineStr">
        <is>
          <t>60,400 คน</t>
        </is>
      </c>
      <c r="D6" s="42" t="inlineStr">
        <is>
          <t>ค้นพบอัตโนมัติจาก ICD-10 trigger ใน รพ.</t>
        </is>
      </c>
    </row>
    <row r="7" ht="28" customHeight="1" s="25">
      <c r="A7" s="42" t="inlineStr">
        <is>
          <t>Coverage Gap (ผู้สูงอายุตกหล่น)</t>
        </is>
      </c>
      <c r="B7" s="42" t="inlineStr">
        <is>
          <t>56% (387,000 คน)</t>
        </is>
      </c>
      <c r="C7" s="42" t="inlineStr">
        <is>
          <t>Target &lt; 20%</t>
        </is>
      </c>
      <c r="D7" s="42" t="inlineStr">
        <is>
          <t>ลดจำนวนคนตกหล่น ~250,000+ คน</t>
        </is>
      </c>
    </row>
    <row r="8" ht="28" customHeight="1" s="25">
      <c r="A8" s="42" t="inlineStr">
        <is>
          <t>เวลาเข้าถึงสิทธิ์ผ้าอ้อม</t>
        </is>
      </c>
      <c r="B8" s="42" t="inlineStr">
        <is>
          <t>45 วัน (บางราย 3+ เดือน)</t>
        </is>
      </c>
      <c r="C8" s="42" t="inlineStr">
        <is>
          <t>14 วัน</t>
        </is>
      </c>
      <c r="D8" s="42" t="inlineStr">
        <is>
          <t>ลด 69% — ได้ผ้าอ้อมเร็วขึ้น 1 เดือน</t>
        </is>
      </c>
    </row>
    <row r="9" ht="28" customHeight="1" s="25">
      <c r="A9" s="42" t="inlineStr">
        <is>
          <t>Care Plan อนุมัติสะสม</t>
        </is>
      </c>
      <c r="B9" s="42" t="inlineStr">
        <is>
          <t>คิวรอ 1-3 เดือน</t>
        </is>
      </c>
      <c r="C9" s="42" t="inlineStr">
        <is>
          <t>56,000 ฉบับ (≤7 วัน)</t>
        </is>
      </c>
      <c r="D9" s="42" t="inlineStr">
        <is>
          <t>AI ร่าง → CM อนุมัติ ไม่ต้องเริ่มจากศูนย์</t>
        </is>
      </c>
    </row>
    <row r="10">
      <c r="A10" s="39" t="n"/>
      <c r="B10" s="39" t="n"/>
      <c r="C10" s="39" t="n"/>
      <c r="D10" s="39" t="n"/>
    </row>
    <row r="11" ht="30" customHeight="1" s="25">
      <c r="A11" s="44" t="inlineStr">
        <is>
          <t>2. ภาระครอบครัวลดลง — Family Burden Reduction</t>
        </is>
      </c>
      <c r="B11" s="44" t="n"/>
      <c r="C11" s="44" t="n"/>
      <c r="D11" s="44" t="n"/>
    </row>
    <row r="12">
      <c r="A12" s="45" t="inlineStr">
        <is>
          <t>ตัวชี้วัด</t>
        </is>
      </c>
      <c r="B12" s="45" t="inlineStr">
        <is>
          <t>ก่อนใช้ระบบ</t>
        </is>
      </c>
      <c r="C12" s="45" t="inlineStr">
        <is>
          <t>หลังใช้ระบบ</t>
        </is>
      </c>
      <c r="D12" s="45" t="inlineStr">
        <is>
          <t>ความหมาย</t>
        </is>
      </c>
    </row>
    <row r="13" ht="28" customHeight="1" s="25">
      <c r="A13" s="46" t="inlineStr">
        <is>
          <t>ค่าผ้าอ้อมที่ครอบครัวต้องจ่ายเอง/ปี</t>
        </is>
      </c>
      <c r="B13" s="46" t="inlineStr">
        <is>
          <t>15,840 บาท/คน/ปี</t>
        </is>
      </c>
      <c r="C13" s="46" t="inlineStr">
        <is>
          <t>5,700 บาท/คน/ปี</t>
        </is>
      </c>
      <c r="D13" s="46" t="inlineStr">
        <is>
          <t>ประหยัด 10,140 บาท/ครอบครัว/ปี</t>
        </is>
      </c>
    </row>
    <row r="14" ht="28" customHeight="1" s="25">
      <c r="A14" s="46" t="inlineStr">
        <is>
          <t>รวมภาระที่ลดได้ (60,400 ครอบครัว × 3 ปี)</t>
        </is>
      </c>
      <c r="B14" s="46" t="inlineStr">
        <is>
          <t>-</t>
        </is>
      </c>
      <c r="C14" s="47" t="inlineStr">
        <is>
          <t>~612 ล้านบาท</t>
        </is>
      </c>
      <c r="D14" s="46" t="inlineStr">
        <is>
          <t>เงินที่ครอบครัวไม่ต้องควักจ่ายเอง</t>
        </is>
      </c>
    </row>
    <row r="15" ht="28" customHeight="1" s="25">
      <c r="A15" s="46" t="inlineStr">
        <is>
          <t>Pressure Wound ที่ป้องกันได้</t>
        </is>
      </c>
      <c r="B15" s="46" t="inlineStr">
        <is>
          <t>-</t>
        </is>
      </c>
      <c r="C15" s="46" t="inlineStr">
        <is>
          <t>~8,500 case</t>
        </is>
      </c>
      <c r="D15" s="46" t="inlineStr">
        <is>
          <t>ลดความเจ็บปวด ลดค่ารักษาเพิ่ม</t>
        </is>
      </c>
    </row>
    <row r="16" ht="28" customHeight="1" s="25">
      <c r="A16" s="46" t="inlineStr">
        <is>
          <t>Readmission ที่ป้องกันได้</t>
        </is>
      </c>
      <c r="B16" s="46" t="inlineStr">
        <is>
          <t>-</t>
        </is>
      </c>
      <c r="C16" s="46" t="inlineStr">
        <is>
          <t>~12,000 ครั้ง</t>
        </is>
      </c>
      <c r="D16" s="46" t="inlineStr">
        <is>
          <t>ผู้ป่วยไม่ต้องกลับ รพ. ซ้ำ</t>
        </is>
      </c>
    </row>
    <row r="17">
      <c r="A17" s="39" t="n"/>
      <c r="B17" s="39" t="n"/>
      <c r="C17" s="39" t="n"/>
      <c r="D17" s="39" t="n"/>
    </row>
    <row r="18" ht="30" customHeight="1" s="25">
      <c r="A18" s="48" t="inlineStr">
        <is>
          <t>3. บุคลากรด่านหน้าทำงานได้มากขึ้น — Workforce Capacity</t>
        </is>
      </c>
      <c r="B18" s="48" t="n"/>
      <c r="C18" s="48" t="n"/>
      <c r="D18" s="48" t="n"/>
    </row>
    <row r="19">
      <c r="A19" s="49" t="inlineStr">
        <is>
          <t>ตัวชี้วัด</t>
        </is>
      </c>
      <c r="B19" s="49" t="inlineStr">
        <is>
          <t>ก่อนใช้ระบบ</t>
        </is>
      </c>
      <c r="C19" s="49" t="inlineStr">
        <is>
          <t>หลังใช้ระบบ</t>
        </is>
      </c>
      <c r="D19" s="49" t="inlineStr">
        <is>
          <t>ความหมาย</t>
        </is>
      </c>
    </row>
    <row r="20" ht="28" customHeight="1" s="25">
      <c r="A20" s="50" t="inlineStr">
        <is>
          <t>CM Capacity (ราย/CM/ปี)</t>
        </is>
      </c>
      <c r="B20" s="50" t="inlineStr">
        <is>
          <t>50 ราย</t>
        </is>
      </c>
      <c r="C20" s="50" t="inlineStr">
        <is>
          <t>150 ราย</t>
        </is>
      </c>
      <c r="D20" s="50" t="inlineStr">
        <is>
          <t>เพิ่ม 3 เท่า โดยไม่ต้องจ้างเพิ่ม</t>
        </is>
      </c>
    </row>
    <row r="21" ht="28" customHeight="1" s="25">
      <c r="A21" s="50" t="inlineStr">
        <is>
          <t>เทียบเท่าการจ้าง CM เพิ่ม</t>
        </is>
      </c>
      <c r="B21" s="50" t="inlineStr">
        <is>
          <t>-</t>
        </is>
      </c>
      <c r="C21" s="51" t="inlineStr">
        <is>
          <t>~800 คน</t>
        </is>
      </c>
      <c r="D21" s="50" t="inlineStr">
        <is>
          <t>ประหยัดค่าจ้าง แต่ดูแลได้เท่ากัน</t>
        </is>
      </c>
    </row>
    <row r="22" ht="28" customHeight="1" s="25">
      <c r="A22" s="50" t="inlineStr">
        <is>
          <t>เวลาประเมิน ADL / ราย</t>
        </is>
      </c>
      <c r="B22" s="50" t="inlineStr">
        <is>
          <t>45 นาที (ลงพื้นที่)</t>
        </is>
      </c>
      <c r="C22" s="50" t="inlineStr">
        <is>
          <t>10 นาที (Line Agent)</t>
        </is>
      </c>
      <c r="D22" s="50" t="inlineStr">
        <is>
          <t>ลด 78% — ญาติตอบเอง CM ตรวจสอบ</t>
        </is>
      </c>
    </row>
    <row r="23" ht="28" customHeight="1" s="25">
      <c r="A23" s="50" t="inlineStr">
        <is>
          <t>ภาระเอกสาร/Care Plan</t>
        </is>
      </c>
      <c r="B23" s="50" t="inlineStr">
        <is>
          <t>4 ชุดเอกสาร × 3 ระบบ</t>
        </is>
      </c>
      <c r="C23" s="50" t="inlineStr">
        <is>
          <t>0 กระดาษ (Digital)</t>
        </is>
      </c>
      <c r="D23" s="50" t="inlineStr">
        <is>
          <t>ลด 100% — Single Source of Truth</t>
        </is>
      </c>
    </row>
    <row r="24" ht="28" customHeight="1" s="25">
      <c r="A24" s="50" t="inlineStr">
        <is>
          <t>อสม. ใช้ Line Agent</t>
        </is>
      </c>
      <c r="B24" s="50" t="inlineStr">
        <is>
          <t>0</t>
        </is>
      </c>
      <c r="C24" s="50" t="inlineStr">
        <is>
          <t>5,000 คน</t>
        </is>
      </c>
      <c r="D24" s="50" t="inlineStr">
        <is>
          <t>เครื่องมือใหม่ให้ อสม. ทำงานเชิงรุก</t>
        </is>
      </c>
    </row>
    <row r="26">
      <c r="A26" s="52" t="inlineStr">
        <is>
          <t>ต้นทุนแพลตฟอร์ม (ข้อมูลสนับสนุน)</t>
        </is>
      </c>
    </row>
    <row r="27">
      <c r="A27" s="53" t="inlineStr">
        <is>
          <t>CAPEX (ลงทุนครั้งเดียว)</t>
        </is>
      </c>
      <c r="B27" s="53" t="inlineStr">
        <is>
          <t>1,750,000 บาท</t>
        </is>
      </c>
      <c r="C27" s="53" t="inlineStr"/>
      <c r="D27" s="53" t="inlineStr">
        <is>
          <t>Platform + Infra + Training</t>
        </is>
      </c>
    </row>
    <row r="28">
      <c r="A28" s="53" t="inlineStr">
        <is>
          <t>OPEX 3 ปี</t>
        </is>
      </c>
      <c r="B28" s="53" t="inlineStr">
        <is>
          <t>5,418,000 บาท</t>
        </is>
      </c>
      <c r="C28" s="53" t="inlineStr"/>
      <c r="D28" s="53" t="inlineStr">
        <is>
          <t>Cloud + AI + Maintenance + Support</t>
        </is>
      </c>
    </row>
    <row r="29">
      <c r="A29" s="54" t="inlineStr">
        <is>
          <t>Total Platform Cost 3 ปี</t>
        </is>
      </c>
      <c r="B29" s="54" t="inlineStr">
        <is>
          <t>7,168,000 บาท</t>
        </is>
      </c>
      <c r="C29" s="54" t="n"/>
      <c r="D29" s="54" t="inlineStr">
        <is>
          <t>เฉลี่ย ~119 บาท/ผู้ป่วย/ปี</t>
        </is>
      </c>
    </row>
    <row r="31">
      <c r="A31" s="55" t="inlineStr">
        <is>
          <t>→ ลงทุน 119 บาท/คน/ปี เพื่อให้ผู้ป่วย 60,400 คน เข้าถึงสิทธิ์ผ้าอ้อมที่ควรได้รับ</t>
        </is>
      </c>
    </row>
    <row r="32">
      <c r="A32" s="56" t="inlineStr">
        <is>
          <t>→ ลดภาระครอบครัวเฉลี่ย 10,140 บาท/ปี ด้วยการเข้าถึงสิทธิ์ที่มีอยู่แล้วแต่เข้าไม่ถึง</t>
        </is>
      </c>
    </row>
    <row r="33">
      <c r="A33" s="57" t="inlineStr">
        <is>
          <t>→ CM 1 คน ดูแลได้เพิ่มขึ้น 3 เท่า — เทียบเท่าจ้างเพิ่ม 800 คน โดยไม่เพิ่มงบบุคลากร</t>
        </is>
      </c>
    </row>
  </sheetData>
  <mergeCells count="5">
    <mergeCell ref="A1:D1"/>
    <mergeCell ref="A31:D31"/>
    <mergeCell ref="A33:D33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2026-05-24T02:35:19Z</dcterms:created>
  <dcterms:modified xsi:type="dcterms:W3CDTF">2026-05-24T02:50:47Z</dcterms:modified>
  <cp:lastModifiedBy>KHANUT BOONJONG</cp:lastModifiedBy>
</cp:coreProperties>
</file>